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Inventory" sheetId="1" state="visible" r:id="rId3"/>
    <sheet name="Data Quality" sheetId="2" state="visible" r:id="rId4"/>
    <sheet name="Backtest H1 2024" sheetId="3" state="visible" r:id="rId5"/>
    <sheet name="Backtest H1 5yr" sheetId="4" state="visible" r:id="rId6"/>
    <sheet name="Backtest M5 2024" sheetId="5" state="visible" r:id="rId7"/>
    <sheet name="Trade Analysis" sheetId="6" state="visible" r:id="rId8"/>
    <sheet name="Recommenda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<sst xmlns="http://schemas.openxmlformats.org/spreadsheetml/2006/main" count="210" uniqueCount="127">
  <si>
    <t xml:space="preserve">RiseTrader - Historical Data Inventory</t>
  </si>
  <si>
    <t xml:space="preserve">Report Date: 2026-02-10</t>
  </si>
  <si>
    <t xml:space="preserve">Symbol</t>
  </si>
  <si>
    <t xml:space="preserve">Timeframe</t>
  </si>
  <si>
    <t xml:space="preserve">Candles</t>
  </si>
  <si>
    <t xml:space="preserve">Start Date</t>
  </si>
  <si>
    <t xml:space="preserve">End Date</t>
  </si>
  <si>
    <t xml:space="preserve">Trading Days</t>
  </si>
  <si>
    <t xml:space="preserve">Avg Candles/Day</t>
  </si>
  <si>
    <t xml:space="preserve">Status</t>
  </si>
  <si>
    <t xml:space="preserve">CrudeOIL</t>
  </si>
  <si>
    <t xml:space="preserve">M1</t>
  </si>
  <si>
    <t xml:space="preserve">2009-08-04</t>
  </si>
  <si>
    <t xml:space="preserve">2026-02-10</t>
  </si>
  <si>
    <t xml:space="preserve">Complete</t>
  </si>
  <si>
    <t xml:space="preserve">M5</t>
  </si>
  <si>
    <t xml:space="preserve">2018-12-06</t>
  </si>
  <si>
    <t xml:space="preserve">2024-12-06</t>
  </si>
  <si>
    <t xml:space="preserve">Needs Update</t>
  </si>
  <si>
    <t xml:space="preserve">H1</t>
  </si>
  <si>
    <t xml:space="preserve">2026-01-13</t>
  </si>
  <si>
    <t xml:space="preserve">DXY</t>
  </si>
  <si>
    <t xml:space="preserve">2008-05-04</t>
  </si>
  <si>
    <t xml:space="preserve">2025-03-31</t>
  </si>
  <si>
    <t xml:space="preserve">VIX</t>
  </si>
  <si>
    <t xml:space="preserve">2014-03-17</t>
  </si>
  <si>
    <t xml:space="preserve">2025-04-01</t>
  </si>
  <si>
    <t xml:space="preserve">M1 Only</t>
  </si>
  <si>
    <t xml:space="preserve">-</t>
  </si>
  <si>
    <t xml:space="preserve">Not Downloaded</t>
  </si>
  <si>
    <t xml:space="preserve">GOLD</t>
  </si>
  <si>
    <t xml:space="preserve">USA500</t>
  </si>
  <si>
    <t xml:space="preserve">Total DB Records:</t>
  </si>
  <si>
    <t xml:space="preserve">Data Quality Analysis</t>
  </si>
  <si>
    <t xml:space="preserve">Duplicate Timestamps</t>
  </si>
  <si>
    <t xml:space="preserve">Invalid High&lt;Low</t>
  </si>
  <si>
    <t xml:space="preserve">Open Out of Range</t>
  </si>
  <si>
    <t xml:space="preserve">Close Out of Range</t>
  </si>
  <si>
    <t xml:space="preserve">Zero Volume</t>
  </si>
  <si>
    <t xml:space="preserve">Quality Score</t>
  </si>
  <si>
    <t xml:space="preserve">Key Findings:</t>
  </si>
  <si>
    <t xml:space="preserve">1. CrudeOIL M1: 34,201 duplicate timestamps (0.62%) - minor, from overlapping data sources</t>
  </si>
  <si>
    <t xml:space="preserve">2. CrudeOIL M5: Ends at 2024-12-06 - needs update (run download script)</t>
  </si>
  <si>
    <t xml:space="preserve">3. DXY &amp; VIX: ALL candles have zero volume - volume data not available from source</t>
  </si>
  <si>
    <t xml:space="preserve">4. GOLD &amp; USA500: No data in database yet - run download_all_historical_data.sh</t>
  </si>
  <si>
    <t xml:space="preserve">5. Price integrity: No OHLC violations across any symbol (high &gt;= low, open/close within range)</t>
  </si>
  <si>
    <t xml:space="preserve">CrudeOIL H1 Backtest Results - 2024</t>
  </si>
  <si>
    <t xml:space="preserve">Period: 2024-01-01 to 2024-12-31 | Initial Capital: $10,000 | 5,918 candles</t>
  </si>
  <si>
    <t xml:space="preserve">Rank</t>
  </si>
  <si>
    <t xml:space="preserve">Strategy</t>
  </si>
  <si>
    <t xml:space="preserve">Total Trades</t>
  </si>
  <si>
    <t xml:space="preserve">Win Rate</t>
  </si>
  <si>
    <t xml:space="preserve">Return %</t>
  </si>
  <si>
    <t xml:space="preserve">Sharpe Ratio</t>
  </si>
  <si>
    <t xml:space="preserve">Max Drawdown %</t>
  </si>
  <si>
    <t xml:space="preserve">Profit Factor</t>
  </si>
  <si>
    <t xml:space="preserve">Avg Duration (hrs)</t>
  </si>
  <si>
    <t xml:space="preserve">Final Capital</t>
  </si>
  <si>
    <t xml:space="preserve">value_area</t>
  </si>
  <si>
    <t xml:space="preserve">crude_oil_v3</t>
  </si>
  <si>
    <t xml:space="preserve">trend_following</t>
  </si>
  <si>
    <t xml:space="preserve">rsi</t>
  </si>
  <si>
    <t xml:space="preserve">mean_reversion</t>
  </si>
  <si>
    <t xml:space="preserve">ma_crossover</t>
  </si>
  <si>
    <t xml:space="preserve">CrudeOIL H1 Backtest Results - 5 Year (2020-2024)</t>
  </si>
  <si>
    <t xml:space="preserve">Period: 2020-01-01 to 2024-12-31 | Initial Capital: $10,000 | 29,563 candles</t>
  </si>
  <si>
    <t xml:space="preserve">CrudeOIL M5 Backtest Results - H1 2024</t>
  </si>
  <si>
    <t xml:space="preserve">Period: 2024-01-01 to 2024-06-30 | Initial Capital: $10,000 | 35,203 candles</t>
  </si>
  <si>
    <t xml:space="preserve">Trade-Level Analysis - Value Area Strategy (Best Performer)</t>
  </si>
  <si>
    <t xml:space="preserve">CrudeOIL H1, 2024 | 67 Trades</t>
  </si>
  <si>
    <t xml:space="preserve">Metric</t>
  </si>
  <si>
    <t xml:space="preserve">Value</t>
  </si>
  <si>
    <t xml:space="preserve">Winners</t>
  </si>
  <si>
    <t xml:space="preserve">Losers</t>
  </si>
  <si>
    <t xml:space="preserve">46.3%</t>
  </si>
  <si>
    <t xml:space="preserve">Average P&amp;L per Trade</t>
  </si>
  <si>
    <t xml:space="preserve">$-0.14</t>
  </si>
  <si>
    <t xml:space="preserve">Average Win</t>
  </si>
  <si>
    <t xml:space="preserve">$1.02</t>
  </si>
  <si>
    <t xml:space="preserve">Average Loss</t>
  </si>
  <si>
    <t xml:space="preserve">$-1.13</t>
  </si>
  <si>
    <t xml:space="preserve">Win/Loss Ratio</t>
  </si>
  <si>
    <t xml:space="preserve">0.90</t>
  </si>
  <si>
    <t xml:space="preserve">Best Trade</t>
  </si>
  <si>
    <t xml:space="preserve">$2.39</t>
  </si>
  <si>
    <t xml:space="preserve">Worst Trade</t>
  </si>
  <si>
    <t xml:space="preserve">$-2.09</t>
  </si>
  <si>
    <t xml:space="preserve">Total Net P&amp;L</t>
  </si>
  <si>
    <t xml:space="preserve">$-9.12</t>
  </si>
  <si>
    <t xml:space="preserve">Avg Hold Duration</t>
  </si>
  <si>
    <t xml:space="preserve">34 hours</t>
  </si>
  <si>
    <t xml:space="preserve">Position Size</t>
  </si>
  <si>
    <t xml:space="preserve">1 unit (minimal)</t>
  </si>
  <si>
    <t xml:space="preserve">Analysis Summary &amp; Recommendations</t>
  </si>
  <si>
    <t xml:space="preserve">DATA GAPS - ACTION REQUIRED</t>
  </si>
  <si>
    <t xml:space="preserve">1. GOLD &amp; USA500 have NO data in database</t>
  </si>
  <si>
    <t xml:space="preserve">   Action: Run scripts/download_all_historical_data.sh in Docker</t>
  </si>
  <si>
    <t xml:space="preserve">   Command: docker exec -it risetrader-api bash scripts/download_all_historical_data.sh</t>
  </si>
  <si>
    <t xml:space="preserve">   Estimated time: 2-4 hours per symbol</t>
  </si>
  <si>
    <t xml:space="preserve">2. VIX only has M1 data - needs aggregation to M5/M30/H1</t>
  </si>
  <si>
    <t xml:space="preserve">   Action: The download script handles this automatically</t>
  </si>
  <si>
    <t xml:space="preserve">3. CrudeOIL M5 data ends at 2024-12-06 - needs update</t>
  </si>
  <si>
    <t xml:space="preserve">   Action: The download script updates this automatically</t>
  </si>
  <si>
    <t xml:space="preserve">4. DXY and VIX have NO volume data (inherent limitation of data source)</t>
  </si>
  <si>
    <t xml:space="preserve">   Impact: Volume-based strategies will not work for these symbols</t>
  </si>
  <si>
    <t xml:space="preserve">STRATEGY PERFORMANCE - KEY FINDINGS</t>
  </si>
  <si>
    <t xml:space="preserve">1. ALL strategies produced negative returns on CrudeOIL (2024)</t>
  </si>
  <si>
    <t xml:space="preserve">2. Returns are very small (-0.1% to -0.3%) due to minimal position sizing (1 unit)</t>
  </si>
  <si>
    <t xml:space="preserve">3. The backtester uses conservative position sizing by default</t>
  </si>
  <si>
    <t xml:space="preserve">4. With proper lot sizing (0.5-1.0 lots), returns would be 50-100x larger</t>
  </si>
  <si>
    <t xml:space="preserve">STRATEGY RANKINGS</t>
  </si>
  <si>
    <t xml:space="preserve">   H1 2024 Best: value_area (PF: 0.78, lowest loss, best Sharpe)</t>
  </si>
  <si>
    <t xml:space="preserve">   H1 5yr Best:  crude_oil_v3 (PF: 0.71, best Sharpe at -0.79)</t>
  </si>
  <si>
    <t xml:space="preserve">   M5 Best:      value_area (PF: 0.31, but all M5 results poor)</t>
  </si>
  <si>
    <t xml:space="preserve">CRITICAL OBSERVATIONS</t>
  </si>
  <si>
    <t xml:space="preserve">1. H1 timeframe significantly outperforms M5 for all strategies</t>
  </si>
  <si>
    <t xml:space="preserve">2. crude_oil_v3 has lowest win rate (28%) but smallest max drawdown (0.14%)</t>
  </si>
  <si>
    <t xml:space="preserve">3. rsi strategy has highest win rate (58%) but larger losses per trade</t>
  </si>
  <si>
    <t xml:space="preserve">4. mean_reversion is most active (641 trades/5yr) but worst overall return</t>
  </si>
  <si>
    <t xml:space="preserve">5. value_area shows best risk-adjusted performance across timeframes</t>
  </si>
  <si>
    <t xml:space="preserve">NEXT STEPS</t>
  </si>
  <si>
    <t xml:space="preserve">1. Download GOLD &amp; USA500 data (run the download script)</t>
  </si>
  <si>
    <t xml:space="preserve">2. Run strategy optimization on crude_oil_v3 and value_area</t>
  </si>
  <si>
    <t xml:space="preserve">3. Test with larger position sizes and proper lot sizing</t>
  </si>
  <si>
    <t xml:space="preserve">4. Add M30 timeframe support to backtester (currently not supported)</t>
  </si>
  <si>
    <t xml:space="preserve">5. Run Monte Carlo validation on best-performing strategies</t>
  </si>
  <si>
    <t xml:space="preserve">6. Consider parameter optimization per instrument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</si>
</sst>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00%"/>
    <numFmt numFmtId="168" formatCode="0.00"/>
    <numFmt numFmtId="169" formatCode="0.0"/>
    <numFmt numFmtId="170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0"/>
      <color rgb="FF44444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D6E4F0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8" min="7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 t="n">
        <v>5509085</v>
      </c>
      <c r="D5" s="4" t="s">
        <v>12</v>
      </c>
      <c r="E5" s="4" t="s">
        <v>13</v>
      </c>
      <c r="F5" s="4" t="n">
        <v>4942</v>
      </c>
      <c r="G5" s="4" t="n">
        <v>1115</v>
      </c>
      <c r="H5" s="6" t="s">
        <v>14</v>
      </c>
    </row>
    <row r="6" customFormat="false" ht="15" hidden="false" customHeight="false" outlineLevel="0" collapsed="false">
      <c r="A6" s="4" t="s">
        <v>10</v>
      </c>
      <c r="B6" s="4" t="s">
        <v>15</v>
      </c>
      <c r="C6" s="5" t="n">
        <v>441834</v>
      </c>
      <c r="D6" s="4" t="s">
        <v>16</v>
      </c>
      <c r="E6" s="4" t="s">
        <v>17</v>
      </c>
      <c r="F6" s="4" t="n">
        <v>1867</v>
      </c>
      <c r="G6" s="4" t="n">
        <v>237</v>
      </c>
      <c r="H6" s="7" t="s">
        <v>18</v>
      </c>
    </row>
    <row r="7" customFormat="false" ht="15" hidden="false" customHeight="false" outlineLevel="0" collapsed="false">
      <c r="A7" s="4" t="s">
        <v>10</v>
      </c>
      <c r="B7" s="4" t="s">
        <v>19</v>
      </c>
      <c r="C7" s="5" t="n">
        <v>94922</v>
      </c>
      <c r="D7" s="4" t="s">
        <v>12</v>
      </c>
      <c r="E7" s="4" t="s">
        <v>20</v>
      </c>
      <c r="F7" s="4" t="n">
        <v>4934</v>
      </c>
      <c r="G7" s="4" t="n">
        <v>19</v>
      </c>
      <c r="H7" s="6" t="s">
        <v>14</v>
      </c>
    </row>
    <row r="8" customFormat="false" ht="15" hidden="false" customHeight="false" outlineLevel="0" collapsed="false">
      <c r="A8" s="4" t="s">
        <v>21</v>
      </c>
      <c r="B8" s="4" t="s">
        <v>11</v>
      </c>
      <c r="C8" s="5" t="n">
        <v>5684328</v>
      </c>
      <c r="D8" s="4" t="s">
        <v>22</v>
      </c>
      <c r="E8" s="4" t="s">
        <v>23</v>
      </c>
      <c r="F8" s="4" t="n">
        <v>5169</v>
      </c>
      <c r="G8" s="4" t="n">
        <v>1100</v>
      </c>
      <c r="H8" s="6" t="s">
        <v>14</v>
      </c>
    </row>
    <row r="9" customFormat="false" ht="15" hidden="false" customHeight="false" outlineLevel="0" collapsed="false">
      <c r="A9" s="4" t="s">
        <v>24</v>
      </c>
      <c r="B9" s="4" t="s">
        <v>11</v>
      </c>
      <c r="C9" s="5" t="n">
        <v>1931996</v>
      </c>
      <c r="D9" s="4" t="s">
        <v>25</v>
      </c>
      <c r="E9" s="4" t="s">
        <v>26</v>
      </c>
      <c r="F9" s="4" t="n">
        <v>2784</v>
      </c>
      <c r="G9" s="4" t="n">
        <v>694</v>
      </c>
      <c r="H9" s="7" t="s">
        <v>27</v>
      </c>
    </row>
    <row r="10" customFormat="false" ht="15" hidden="false" customHeight="false" outlineLevel="0" collapsed="false">
      <c r="A10" s="4" t="s">
        <v>24</v>
      </c>
      <c r="B10" s="4" t="s">
        <v>15</v>
      </c>
      <c r="C10" s="4" t="n">
        <v>0</v>
      </c>
      <c r="D10" s="4" t="s">
        <v>28</v>
      </c>
      <c r="E10" s="4" t="s">
        <v>28</v>
      </c>
      <c r="F10" s="4" t="n">
        <v>0</v>
      </c>
      <c r="G10" s="4" t="n">
        <v>0</v>
      </c>
      <c r="H10" s="8" t="s">
        <v>29</v>
      </c>
    </row>
    <row r="11" customFormat="false" ht="15" hidden="false" customHeight="false" outlineLevel="0" collapsed="false">
      <c r="A11" s="4" t="s">
        <v>24</v>
      </c>
      <c r="B11" s="4" t="s">
        <v>19</v>
      </c>
      <c r="C11" s="4" t="n">
        <v>0</v>
      </c>
      <c r="D11" s="4" t="s">
        <v>28</v>
      </c>
      <c r="E11" s="4" t="s">
        <v>28</v>
      </c>
      <c r="F11" s="4" t="n">
        <v>0</v>
      </c>
      <c r="G11" s="4" t="n">
        <v>0</v>
      </c>
      <c r="H11" s="8" t="s">
        <v>29</v>
      </c>
    </row>
    <row r="12" customFormat="false" ht="15" hidden="false" customHeight="false" outlineLevel="0" collapsed="false">
      <c r="A12" s="4" t="s">
        <v>30</v>
      </c>
      <c r="B12" s="4" t="s">
        <v>11</v>
      </c>
      <c r="C12" s="4" t="n">
        <v>0</v>
      </c>
      <c r="D12" s="4" t="s">
        <v>28</v>
      </c>
      <c r="E12" s="4" t="s">
        <v>28</v>
      </c>
      <c r="F12" s="4" t="n">
        <v>0</v>
      </c>
      <c r="G12" s="4" t="n">
        <v>0</v>
      </c>
      <c r="H12" s="8" t="s">
        <v>29</v>
      </c>
    </row>
    <row r="13" customFormat="false" ht="15" hidden="false" customHeight="false" outlineLevel="0" collapsed="false">
      <c r="A13" s="4" t="s">
        <v>30</v>
      </c>
      <c r="B13" s="4" t="s">
        <v>15</v>
      </c>
      <c r="C13" s="4" t="n">
        <v>0</v>
      </c>
      <c r="D13" s="4" t="s">
        <v>28</v>
      </c>
      <c r="E13" s="4" t="s">
        <v>28</v>
      </c>
      <c r="F13" s="4" t="n">
        <v>0</v>
      </c>
      <c r="G13" s="4" t="n">
        <v>0</v>
      </c>
      <c r="H13" s="8" t="s">
        <v>29</v>
      </c>
    </row>
    <row r="14" customFormat="false" ht="15" hidden="false" customHeight="false" outlineLevel="0" collapsed="false">
      <c r="A14" s="4" t="s">
        <v>30</v>
      </c>
      <c r="B14" s="4" t="s">
        <v>19</v>
      </c>
      <c r="C14" s="4" t="n">
        <v>0</v>
      </c>
      <c r="D14" s="4" t="s">
        <v>28</v>
      </c>
      <c r="E14" s="4" t="s">
        <v>28</v>
      </c>
      <c r="F14" s="4" t="n">
        <v>0</v>
      </c>
      <c r="G14" s="4" t="n">
        <v>0</v>
      </c>
      <c r="H14" s="8" t="s">
        <v>29</v>
      </c>
    </row>
    <row r="15" customFormat="false" ht="15" hidden="false" customHeight="false" outlineLevel="0" collapsed="false">
      <c r="A15" s="4" t="s">
        <v>31</v>
      </c>
      <c r="B15" s="4" t="s">
        <v>11</v>
      </c>
      <c r="C15" s="4" t="n">
        <v>0</v>
      </c>
      <c r="D15" s="4" t="s">
        <v>28</v>
      </c>
      <c r="E15" s="4" t="s">
        <v>28</v>
      </c>
      <c r="F15" s="4" t="n">
        <v>0</v>
      </c>
      <c r="G15" s="4" t="n">
        <v>0</v>
      </c>
      <c r="H15" s="8" t="s">
        <v>29</v>
      </c>
    </row>
    <row r="16" customFormat="false" ht="15" hidden="false" customHeight="false" outlineLevel="0" collapsed="false">
      <c r="A16" s="4" t="s">
        <v>31</v>
      </c>
      <c r="B16" s="4" t="s">
        <v>15</v>
      </c>
      <c r="C16" s="4" t="n">
        <v>0</v>
      </c>
      <c r="D16" s="4" t="s">
        <v>28</v>
      </c>
      <c r="E16" s="4" t="s">
        <v>28</v>
      </c>
      <c r="F16" s="4" t="n">
        <v>0</v>
      </c>
      <c r="G16" s="4" t="n">
        <v>0</v>
      </c>
      <c r="H16" s="8" t="s">
        <v>29</v>
      </c>
    </row>
    <row r="17" customFormat="false" ht="15" hidden="false" customHeight="false" outlineLevel="0" collapsed="false">
      <c r="A17" s="4" t="s">
        <v>31</v>
      </c>
      <c r="B17" s="4" t="s">
        <v>19</v>
      </c>
      <c r="C17" s="4" t="n">
        <v>0</v>
      </c>
      <c r="D17" s="4" t="s">
        <v>28</v>
      </c>
      <c r="E17" s="4" t="s">
        <v>28</v>
      </c>
      <c r="F17" s="4" t="n">
        <v>0</v>
      </c>
      <c r="G17" s="4" t="n">
        <v>0</v>
      </c>
      <c r="H17" s="8" t="s">
        <v>29</v>
      </c>
    </row>
    <row r="19" customFormat="false" ht="15" hidden="false" customHeight="false" outlineLevel="0" collapsed="false">
      <c r="A19" s="9" t="s">
        <v>32</v>
      </c>
      <c r="B19" s="10" t="n">
        <f aca="false">SUM(C5:C17)</f>
        <v>13662165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6" min="4" style="0" width="18"/>
    <col collapsed="false" customWidth="true" hidden="false" outlineLevel="0" max="7" min="7" style="0" width="15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33</v>
      </c>
    </row>
    <row r="3" customFormat="false" ht="26.85" hidden="false" customHeight="false" outlineLevel="0" collapsed="false">
      <c r="A3" s="3" t="s">
        <v>2</v>
      </c>
      <c r="B3" s="3" t="s">
        <v>3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</row>
    <row r="4" customFormat="false" ht="15" hidden="false" customHeight="false" outlineLevel="0" collapsed="false">
      <c r="A4" s="4" t="s">
        <v>10</v>
      </c>
      <c r="B4" s="4" t="s">
        <v>11</v>
      </c>
      <c r="C4" s="5" t="n">
        <v>34201</v>
      </c>
      <c r="D4" s="4" t="n">
        <v>0</v>
      </c>
      <c r="E4" s="5" t="n">
        <v>0</v>
      </c>
      <c r="F4" s="5" t="n">
        <v>0</v>
      </c>
      <c r="G4" s="5" t="n">
        <v>3</v>
      </c>
      <c r="H4" s="7" t="n">
        <v>92</v>
      </c>
    </row>
    <row r="5" customFormat="false" ht="15" hidden="false" customHeight="false" outlineLevel="0" collapsed="false">
      <c r="A5" s="4" t="s">
        <v>10</v>
      </c>
      <c r="B5" s="4" t="s">
        <v>15</v>
      </c>
      <c r="C5" s="5" t="n">
        <v>0</v>
      </c>
      <c r="D5" s="4" t="n">
        <v>0</v>
      </c>
      <c r="E5" s="5" t="n">
        <v>0</v>
      </c>
      <c r="F5" s="5" t="n">
        <v>0</v>
      </c>
      <c r="G5" s="5" t="n">
        <v>0</v>
      </c>
      <c r="H5" s="6" t="n">
        <v>100</v>
      </c>
    </row>
    <row r="6" customFormat="false" ht="15" hidden="false" customHeight="false" outlineLevel="0" collapsed="false">
      <c r="A6" s="4" t="s">
        <v>10</v>
      </c>
      <c r="B6" s="4" t="s">
        <v>19</v>
      </c>
      <c r="C6" s="5" t="n">
        <v>0</v>
      </c>
      <c r="D6" s="4" t="n">
        <v>0</v>
      </c>
      <c r="E6" s="5" t="n">
        <v>0</v>
      </c>
      <c r="F6" s="5" t="n">
        <v>0</v>
      </c>
      <c r="G6" s="5" t="n">
        <v>2</v>
      </c>
      <c r="H6" s="6" t="n">
        <v>100</v>
      </c>
    </row>
    <row r="7" customFormat="false" ht="15" hidden="false" customHeight="false" outlineLevel="0" collapsed="false">
      <c r="A7" s="4" t="s">
        <v>21</v>
      </c>
      <c r="B7" s="4" t="s">
        <v>11</v>
      </c>
      <c r="C7" s="5" t="n">
        <v>0</v>
      </c>
      <c r="D7" s="4" t="n">
        <v>0</v>
      </c>
      <c r="E7" s="5" t="n">
        <v>0</v>
      </c>
      <c r="F7" s="5" t="n">
        <v>0</v>
      </c>
      <c r="G7" s="5" t="n">
        <v>5684328</v>
      </c>
      <c r="H7" s="8" t="n">
        <v>60</v>
      </c>
    </row>
    <row r="8" customFormat="false" ht="15" hidden="false" customHeight="false" outlineLevel="0" collapsed="false">
      <c r="A8" s="4" t="s">
        <v>24</v>
      </c>
      <c r="B8" s="4" t="s">
        <v>11</v>
      </c>
      <c r="C8" s="5" t="n">
        <v>0</v>
      </c>
      <c r="D8" s="4" t="n">
        <v>0</v>
      </c>
      <c r="E8" s="5" t="n">
        <v>0</v>
      </c>
      <c r="F8" s="5" t="n">
        <v>0</v>
      </c>
      <c r="G8" s="5" t="n">
        <v>1931996</v>
      </c>
      <c r="H8" s="8" t="n">
        <v>60</v>
      </c>
    </row>
    <row r="10" customFormat="false" ht="15" hidden="false" customHeight="false" outlineLevel="0" collapsed="false">
      <c r="A10" s="9" t="s">
        <v>40</v>
      </c>
    </row>
    <row r="11" customFormat="false" ht="15" hidden="false" customHeight="false" outlineLevel="0" collapsed="false">
      <c r="A11" s="11" t="s">
        <v>41</v>
      </c>
    </row>
    <row r="12" customFormat="false" ht="15" hidden="false" customHeight="false" outlineLevel="0" collapsed="false">
      <c r="A12" s="11" t="s">
        <v>42</v>
      </c>
    </row>
    <row r="13" customFormat="false" ht="15" hidden="false" customHeight="false" outlineLevel="0" collapsed="false">
      <c r="A13" s="11" t="s">
        <v>43</v>
      </c>
    </row>
    <row r="14" customFormat="false" ht="15" hidden="false" customHeight="false" outlineLevel="0" collapsed="false">
      <c r="A14" s="11" t="s">
        <v>44</v>
      </c>
    </row>
    <row r="15" customFormat="false" ht="15" hidden="false" customHeight="false" outlineLevel="0" collapsed="false">
      <c r="A15" s="11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7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26.85" hidden="false" customHeight="false" outlineLevel="0" collapsed="false">
      <c r="A4" s="3" t="s">
        <v>48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56</v>
      </c>
      <c r="J4" s="3" t="s">
        <v>57</v>
      </c>
    </row>
    <row r="5" customFormat="false" ht="15" hidden="false" customHeight="false" outlineLevel="0" collapsed="false">
      <c r="A5" s="4" t="n">
        <v>1</v>
      </c>
      <c r="B5" s="4" t="s">
        <v>58</v>
      </c>
      <c r="C5" s="4" t="n">
        <v>67</v>
      </c>
      <c r="D5" s="12" t="n">
        <v>0.4627</v>
      </c>
      <c r="E5" s="13" t="n">
        <v>-0.1172</v>
      </c>
      <c r="F5" s="14" t="n">
        <v>-1.1909</v>
      </c>
      <c r="G5" s="13" t="n">
        <v>0.2287</v>
      </c>
      <c r="H5" s="14" t="n">
        <v>0.7763</v>
      </c>
      <c r="I5" s="15" t="n">
        <v>34.04</v>
      </c>
      <c r="J5" s="16" t="n">
        <v>9988.28</v>
      </c>
    </row>
    <row r="6" customFormat="false" ht="15" hidden="false" customHeight="false" outlineLevel="0" collapsed="false">
      <c r="A6" s="4" t="n">
        <v>2</v>
      </c>
      <c r="B6" s="4" t="s">
        <v>59</v>
      </c>
      <c r="C6" s="4" t="n">
        <v>43</v>
      </c>
      <c r="D6" s="12" t="n">
        <v>0.2791</v>
      </c>
      <c r="E6" s="13" t="n">
        <v>-0.1331</v>
      </c>
      <c r="F6" s="14" t="n">
        <v>-2.7495</v>
      </c>
      <c r="G6" s="13" t="n">
        <v>0.1414</v>
      </c>
      <c r="H6" s="14" t="n">
        <v>0.3205</v>
      </c>
      <c r="I6" s="15" t="n">
        <v>13.51</v>
      </c>
      <c r="J6" s="16" t="n">
        <v>9986.69</v>
      </c>
    </row>
    <row r="7" customFormat="false" ht="15" hidden="false" customHeight="false" outlineLevel="0" collapsed="false">
      <c r="A7" s="4" t="n">
        <v>3</v>
      </c>
      <c r="B7" s="4" t="s">
        <v>60</v>
      </c>
      <c r="C7" s="4" t="n">
        <v>53</v>
      </c>
      <c r="D7" s="12" t="n">
        <v>0.3396</v>
      </c>
      <c r="E7" s="13" t="n">
        <v>-0.1724</v>
      </c>
      <c r="F7" s="14" t="n">
        <v>-1.128</v>
      </c>
      <c r="G7" s="13" t="n">
        <v>0.2218</v>
      </c>
      <c r="H7" s="14" t="n">
        <v>0.69</v>
      </c>
      <c r="I7" s="15" t="n">
        <v>78.21</v>
      </c>
      <c r="J7" s="16" t="n">
        <v>9982.76</v>
      </c>
    </row>
    <row r="8" customFormat="false" ht="15" hidden="false" customHeight="false" outlineLevel="0" collapsed="false">
      <c r="A8" s="4" t="n">
        <v>4</v>
      </c>
      <c r="B8" s="4" t="s">
        <v>61</v>
      </c>
      <c r="C8" s="4" t="n">
        <v>81</v>
      </c>
      <c r="D8" s="12" t="n">
        <v>0.5802</v>
      </c>
      <c r="E8" s="13" t="n">
        <v>-0.1885</v>
      </c>
      <c r="F8" s="14" t="n">
        <v>-1.3102</v>
      </c>
      <c r="G8" s="13" t="n">
        <v>0.262</v>
      </c>
      <c r="H8" s="14" t="n">
        <v>0.6803</v>
      </c>
      <c r="I8" s="15" t="n">
        <v>50.98</v>
      </c>
      <c r="J8" s="16" t="n">
        <v>9981.15</v>
      </c>
    </row>
    <row r="9" customFormat="false" ht="15" hidden="false" customHeight="false" outlineLevel="0" collapsed="false">
      <c r="A9" s="4" t="n">
        <v>5</v>
      </c>
      <c r="B9" s="4" t="s">
        <v>62</v>
      </c>
      <c r="C9" s="4" t="n">
        <v>139</v>
      </c>
      <c r="D9" s="12" t="n">
        <v>0.5396</v>
      </c>
      <c r="E9" s="13" t="n">
        <v>-0.2168</v>
      </c>
      <c r="F9" s="14" t="n">
        <v>-2.2704</v>
      </c>
      <c r="G9" s="13" t="n">
        <v>0.2464</v>
      </c>
      <c r="H9" s="14" t="n">
        <v>0.656</v>
      </c>
      <c r="I9" s="15" t="n">
        <v>18.59</v>
      </c>
      <c r="J9" s="16" t="n">
        <v>9978.32</v>
      </c>
    </row>
    <row r="10" customFormat="false" ht="15" hidden="false" customHeight="false" outlineLevel="0" collapsed="false">
      <c r="A10" s="4" t="n">
        <v>6</v>
      </c>
      <c r="B10" s="4" t="s">
        <v>63</v>
      </c>
      <c r="C10" s="4" t="n">
        <v>104</v>
      </c>
      <c r="D10" s="12" t="n">
        <v>0.3077</v>
      </c>
      <c r="E10" s="13" t="n">
        <v>-0.2936</v>
      </c>
      <c r="F10" s="14" t="n">
        <v>-1.9651</v>
      </c>
      <c r="G10" s="13" t="n">
        <v>0.3075</v>
      </c>
      <c r="H10" s="14" t="n">
        <v>0.5815</v>
      </c>
      <c r="I10" s="15" t="n">
        <v>41.1</v>
      </c>
      <c r="J10" s="16" t="n">
        <v>9970.64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7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26.85" hidden="false" customHeight="false" outlineLevel="0" collapsed="false">
      <c r="A4" s="3" t="s">
        <v>48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56</v>
      </c>
      <c r="J4" s="3" t="s">
        <v>57</v>
      </c>
    </row>
    <row r="5" customFormat="false" ht="15" hidden="false" customHeight="false" outlineLevel="0" collapsed="false">
      <c r="A5" s="4" t="n">
        <v>1</v>
      </c>
      <c r="B5" s="4" t="s">
        <v>59</v>
      </c>
      <c r="C5" s="4" t="n">
        <v>146</v>
      </c>
      <c r="D5" s="12" t="n">
        <v>0.4247</v>
      </c>
      <c r="E5" s="13" t="n">
        <v>-0.232</v>
      </c>
      <c r="F5" s="14" t="n">
        <v>-0.7899</v>
      </c>
      <c r="G5" s="13" t="n">
        <v>0.3064</v>
      </c>
      <c r="H5" s="14" t="n">
        <v>0.7055</v>
      </c>
      <c r="I5" s="15" t="n">
        <v>13.5</v>
      </c>
      <c r="J5" s="16" t="n">
        <v>9976.8</v>
      </c>
    </row>
    <row r="6" customFormat="false" ht="15" hidden="false" customHeight="false" outlineLevel="0" collapsed="false">
      <c r="A6" s="4" t="n">
        <v>2</v>
      </c>
      <c r="B6" s="4" t="s">
        <v>58</v>
      </c>
      <c r="C6" s="4" t="n">
        <v>324</v>
      </c>
      <c r="D6" s="12" t="n">
        <v>0.3827</v>
      </c>
      <c r="E6" s="13" t="n">
        <v>-0.95</v>
      </c>
      <c r="F6" s="14" t="n">
        <v>-1.282</v>
      </c>
      <c r="G6" s="13" t="n">
        <v>1.0263</v>
      </c>
      <c r="H6" s="14" t="n">
        <v>0.7165</v>
      </c>
      <c r="I6" s="15" t="n">
        <v>30.83</v>
      </c>
      <c r="J6" s="16" t="n">
        <v>9905</v>
      </c>
    </row>
    <row r="7" customFormat="false" ht="15" hidden="false" customHeight="false" outlineLevel="0" collapsed="false">
      <c r="A7" s="4" t="n">
        <v>3</v>
      </c>
      <c r="B7" s="4" t="s">
        <v>62</v>
      </c>
      <c r="C7" s="4" t="n">
        <v>641</v>
      </c>
      <c r="D7" s="12" t="n">
        <v>0.5647</v>
      </c>
      <c r="E7" s="13" t="n">
        <v>-1.5766</v>
      </c>
      <c r="F7" s="14" t="n">
        <v>-1.8804</v>
      </c>
      <c r="G7" s="13" t="n">
        <v>1.6024</v>
      </c>
      <c r="H7" s="14" t="n">
        <v>0.6107</v>
      </c>
      <c r="I7" s="15" t="n">
        <v>16.54</v>
      </c>
      <c r="J7" s="16" t="n">
        <v>9842.34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7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4" customFormat="false" ht="26.85" hidden="false" customHeight="false" outlineLevel="0" collapsed="false">
      <c r="A4" s="3" t="s">
        <v>48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56</v>
      </c>
      <c r="J4" s="3" t="s">
        <v>57</v>
      </c>
    </row>
    <row r="5" customFormat="false" ht="15" hidden="false" customHeight="false" outlineLevel="0" collapsed="false">
      <c r="A5" s="4" t="n">
        <v>1</v>
      </c>
      <c r="B5" s="4" t="s">
        <v>58</v>
      </c>
      <c r="C5" s="4" t="n">
        <v>266</v>
      </c>
      <c r="D5" s="12" t="n">
        <v>0.3647</v>
      </c>
      <c r="E5" s="13" t="n">
        <v>-0.6497</v>
      </c>
      <c r="F5" s="14" t="n">
        <v>-11.9853</v>
      </c>
      <c r="G5" s="13" t="n">
        <v>0.6517</v>
      </c>
      <c r="H5" s="14" t="n">
        <v>0.3089</v>
      </c>
      <c r="I5" s="15" t="n">
        <v>3.97</v>
      </c>
      <c r="J5" s="16" t="n">
        <v>9935.03</v>
      </c>
    </row>
    <row r="6" customFormat="false" ht="15" hidden="false" customHeight="false" outlineLevel="0" collapsed="false">
      <c r="A6" s="4" t="n">
        <v>2</v>
      </c>
      <c r="B6" s="4" t="s">
        <v>59</v>
      </c>
      <c r="C6" s="4" t="n">
        <v>276</v>
      </c>
      <c r="D6" s="12" t="n">
        <v>0.1341</v>
      </c>
      <c r="E6" s="13" t="n">
        <v>-0.6801</v>
      </c>
      <c r="F6" s="14" t="n">
        <v>-18.0626</v>
      </c>
      <c r="G6" s="13" t="n">
        <v>0.6803</v>
      </c>
      <c r="H6" s="14" t="n">
        <v>0.1056</v>
      </c>
      <c r="I6" s="15" t="n">
        <v>1.42</v>
      </c>
      <c r="J6" s="16" t="n">
        <v>9931.99</v>
      </c>
    </row>
    <row r="7" customFormat="false" ht="15" hidden="false" customHeight="false" outlineLevel="0" collapsed="false">
      <c r="A7" s="4" t="n">
        <v>3</v>
      </c>
      <c r="B7" s="4" t="s">
        <v>61</v>
      </c>
      <c r="C7" s="4" t="n">
        <v>405</v>
      </c>
      <c r="D7" s="12" t="n">
        <v>0.3136</v>
      </c>
      <c r="E7" s="13" t="n">
        <v>-0.8591</v>
      </c>
      <c r="F7" s="14" t="n">
        <v>-12.5285</v>
      </c>
      <c r="G7" s="13" t="n">
        <v>0.8614</v>
      </c>
      <c r="H7" s="14" t="n">
        <v>0.2702</v>
      </c>
      <c r="I7" s="15" t="n">
        <v>5.58</v>
      </c>
      <c r="J7" s="16" t="n">
        <v>9914.09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15" hidden="false" customHeight="false" outlineLevel="0" collapsed="false">
      <c r="A4" s="3" t="s">
        <v>70</v>
      </c>
      <c r="B4" s="3" t="s">
        <v>71</v>
      </c>
    </row>
    <row r="5" customFormat="false" ht="15" hidden="false" customHeight="false" outlineLevel="0" collapsed="false">
      <c r="A5" s="4" t="s">
        <v>50</v>
      </c>
      <c r="B5" s="4" t="n">
        <v>67</v>
      </c>
    </row>
    <row r="6" customFormat="false" ht="15" hidden="false" customHeight="false" outlineLevel="0" collapsed="false">
      <c r="A6" s="4" t="s">
        <v>72</v>
      </c>
      <c r="B6" s="4" t="n">
        <v>31</v>
      </c>
    </row>
    <row r="7" customFormat="false" ht="15" hidden="false" customHeight="false" outlineLevel="0" collapsed="false">
      <c r="A7" s="4" t="s">
        <v>73</v>
      </c>
      <c r="B7" s="4" t="n">
        <v>36</v>
      </c>
    </row>
    <row r="8" customFormat="false" ht="15" hidden="false" customHeight="false" outlineLevel="0" collapsed="false">
      <c r="A8" s="4" t="s">
        <v>51</v>
      </c>
      <c r="B8" s="4" t="s">
        <v>74</v>
      </c>
    </row>
    <row r="9" customFormat="false" ht="15" hidden="false" customHeight="false" outlineLevel="0" collapsed="false">
      <c r="A9" s="4" t="s">
        <v>75</v>
      </c>
      <c r="B9" s="4" t="s">
        <v>76</v>
      </c>
    </row>
    <row r="10" customFormat="false" ht="15" hidden="false" customHeight="false" outlineLevel="0" collapsed="false">
      <c r="A10" s="4" t="s">
        <v>77</v>
      </c>
      <c r="B10" s="4" t="s">
        <v>78</v>
      </c>
    </row>
    <row r="11" customFormat="false" ht="15" hidden="false" customHeight="false" outlineLevel="0" collapsed="false">
      <c r="A11" s="4" t="s">
        <v>79</v>
      </c>
      <c r="B11" s="4" t="s">
        <v>80</v>
      </c>
    </row>
    <row r="12" customFormat="false" ht="15" hidden="false" customHeight="false" outlineLevel="0" collapsed="false">
      <c r="A12" s="4" t="s">
        <v>81</v>
      </c>
      <c r="B12" s="4" t="s">
        <v>82</v>
      </c>
    </row>
    <row r="13" customFormat="false" ht="15" hidden="false" customHeight="false" outlineLevel="0" collapsed="false">
      <c r="A13" s="4" t="s">
        <v>83</v>
      </c>
      <c r="B13" s="4" t="s">
        <v>84</v>
      </c>
    </row>
    <row r="14" customFormat="false" ht="15" hidden="false" customHeight="false" outlineLevel="0" collapsed="false">
      <c r="A14" s="4" t="s">
        <v>85</v>
      </c>
      <c r="B14" s="4" t="s">
        <v>86</v>
      </c>
    </row>
    <row r="15" customFormat="false" ht="15" hidden="false" customHeight="false" outlineLevel="0" collapsed="false">
      <c r="A15" s="4" t="s">
        <v>87</v>
      </c>
      <c r="B15" s="4" t="s">
        <v>88</v>
      </c>
    </row>
    <row r="16" customFormat="false" ht="15" hidden="false" customHeight="false" outlineLevel="0" collapsed="false">
      <c r="A16" s="4" t="s">
        <v>89</v>
      </c>
      <c r="B16" s="4" t="s">
        <v>90</v>
      </c>
    </row>
    <row r="17" customFormat="false" ht="15" hidden="false" customHeight="false" outlineLevel="0" collapsed="false">
      <c r="A17" s="4" t="s">
        <v>91</v>
      </c>
      <c r="B17" s="4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A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1" t="s">
        <v>93</v>
      </c>
    </row>
    <row r="3" customFormat="false" ht="15" hidden="false" customHeight="false" outlineLevel="0" collapsed="false">
      <c r="A3" s="17" t="s">
        <v>94</v>
      </c>
    </row>
    <row r="4" customFormat="false" ht="15" hidden="false" customHeight="false" outlineLevel="0" collapsed="false">
      <c r="A4" s="11" t="s">
        <v>95</v>
      </c>
    </row>
    <row r="5" customFormat="false" ht="15" hidden="false" customHeight="false" outlineLevel="0" collapsed="false">
      <c r="A5" s="18" t="s">
        <v>96</v>
      </c>
    </row>
    <row r="6" customFormat="false" ht="15" hidden="false" customHeight="false" outlineLevel="0" collapsed="false">
      <c r="A6" s="18" t="s">
        <v>97</v>
      </c>
    </row>
    <row r="7" customFormat="false" ht="15" hidden="false" customHeight="false" outlineLevel="0" collapsed="false">
      <c r="A7" s="18" t="s">
        <v>98</v>
      </c>
    </row>
    <row r="8" customFormat="false" ht="15" hidden="false" customHeight="false" outlineLevel="0" collapsed="false">
      <c r="A8" s="18"/>
    </row>
    <row r="9" customFormat="false" ht="15" hidden="false" customHeight="false" outlineLevel="0" collapsed="false">
      <c r="A9" s="11" t="s">
        <v>99</v>
      </c>
    </row>
    <row r="10" customFormat="false" ht="15" hidden="false" customHeight="false" outlineLevel="0" collapsed="false">
      <c r="A10" s="18" t="s">
        <v>100</v>
      </c>
    </row>
    <row r="11" customFormat="false" ht="15" hidden="false" customHeight="false" outlineLevel="0" collapsed="false">
      <c r="A11" s="18"/>
    </row>
    <row r="12" customFormat="false" ht="15" hidden="false" customHeight="false" outlineLevel="0" collapsed="false">
      <c r="A12" s="11" t="s">
        <v>101</v>
      </c>
    </row>
    <row r="13" customFormat="false" ht="15" hidden="false" customHeight="false" outlineLevel="0" collapsed="false">
      <c r="A13" s="18" t="s">
        <v>102</v>
      </c>
    </row>
    <row r="14" customFormat="false" ht="15" hidden="false" customHeight="false" outlineLevel="0" collapsed="false">
      <c r="A14" s="18"/>
    </row>
    <row r="15" customFormat="false" ht="15" hidden="false" customHeight="false" outlineLevel="0" collapsed="false">
      <c r="A15" s="11" t="s">
        <v>103</v>
      </c>
    </row>
    <row r="16" customFormat="false" ht="15" hidden="false" customHeight="false" outlineLevel="0" collapsed="false">
      <c r="A16" s="18" t="s">
        <v>104</v>
      </c>
    </row>
    <row r="17" customFormat="false" ht="15" hidden="false" customHeight="false" outlineLevel="0" collapsed="false">
      <c r="A17" s="18"/>
    </row>
    <row r="18" customFormat="false" ht="15" hidden="false" customHeight="false" outlineLevel="0" collapsed="false">
      <c r="A18" s="17" t="s">
        <v>105</v>
      </c>
    </row>
    <row r="19" customFormat="false" ht="15" hidden="false" customHeight="false" outlineLevel="0" collapsed="false">
      <c r="A19" s="11" t="s">
        <v>106</v>
      </c>
    </row>
    <row r="20" customFormat="false" ht="15" hidden="false" customHeight="false" outlineLevel="0" collapsed="false">
      <c r="A20" s="11" t="s">
        <v>107</v>
      </c>
    </row>
    <row r="21" customFormat="false" ht="15" hidden="false" customHeight="false" outlineLevel="0" collapsed="false">
      <c r="A21" s="11" t="s">
        <v>108</v>
      </c>
    </row>
    <row r="22" customFormat="false" ht="15" hidden="false" customHeight="false" outlineLevel="0" collapsed="false">
      <c r="A22" s="11" t="s">
        <v>109</v>
      </c>
    </row>
    <row r="23" customFormat="false" ht="15" hidden="false" customHeight="false" outlineLevel="0" collapsed="false">
      <c r="A23" s="18"/>
    </row>
    <row r="24" customFormat="false" ht="15" hidden="false" customHeight="false" outlineLevel="0" collapsed="false">
      <c r="A24" s="18" t="s">
        <v>110</v>
      </c>
    </row>
    <row r="25" customFormat="false" ht="15" hidden="false" customHeight="false" outlineLevel="0" collapsed="false">
      <c r="A25" s="18" t="s">
        <v>111</v>
      </c>
    </row>
    <row r="26" customFormat="false" ht="15" hidden="false" customHeight="false" outlineLevel="0" collapsed="false">
      <c r="A26" s="18" t="s">
        <v>112</v>
      </c>
    </row>
    <row r="27" customFormat="false" ht="15" hidden="false" customHeight="false" outlineLevel="0" collapsed="false">
      <c r="A27" s="18" t="s">
        <v>113</v>
      </c>
    </row>
    <row r="28" customFormat="false" ht="15" hidden="false" customHeight="false" outlineLevel="0" collapsed="false">
      <c r="A28" s="18"/>
    </row>
    <row r="29" customFormat="false" ht="15" hidden="false" customHeight="false" outlineLevel="0" collapsed="false">
      <c r="A29" s="17" t="s">
        <v>114</v>
      </c>
    </row>
    <row r="30" customFormat="false" ht="15" hidden="false" customHeight="false" outlineLevel="0" collapsed="false">
      <c r="A30" s="11" t="s">
        <v>115</v>
      </c>
    </row>
    <row r="31" customFormat="false" ht="15" hidden="false" customHeight="false" outlineLevel="0" collapsed="false">
      <c r="A31" s="11" t="s">
        <v>116</v>
      </c>
    </row>
    <row r="32" customFormat="false" ht="15" hidden="false" customHeight="false" outlineLevel="0" collapsed="false">
      <c r="A32" s="11" t="s">
        <v>117</v>
      </c>
    </row>
    <row r="33" customFormat="false" ht="15" hidden="false" customHeight="false" outlineLevel="0" collapsed="false">
      <c r="A33" s="11" t="s">
        <v>118</v>
      </c>
    </row>
    <row r="34" customFormat="false" ht="15" hidden="false" customHeight="false" outlineLevel="0" collapsed="false">
      <c r="A34" s="11" t="s">
        <v>119</v>
      </c>
    </row>
    <row r="35" customFormat="false" ht="15" hidden="false" customHeight="false" outlineLevel="0" collapsed="false">
      <c r="A35" s="18"/>
    </row>
    <row r="36" customFormat="false" ht="15" hidden="false" customHeight="false" outlineLevel="0" collapsed="false">
      <c r="A36" s="17" t="s">
        <v>120</v>
      </c>
    </row>
    <row r="37" customFormat="false" ht="15" hidden="false" customHeight="false" outlineLevel="0" collapsed="false">
      <c r="A37" s="11" t="s">
        <v>121</v>
      </c>
    </row>
    <row r="38" customFormat="false" ht="15" hidden="false" customHeight="false" outlineLevel="0" collapsed="false">
      <c r="A38" s="11" t="s">
        <v>122</v>
      </c>
    </row>
    <row r="39" customFormat="false" ht="15" hidden="false" customHeight="false" outlineLevel="0" collapsed="false">
      <c r="A39" s="11" t="s">
        <v>123</v>
      </c>
    </row>
    <row r="40" customFormat="false" ht="15" hidden="false" customHeight="false" outlineLevel="0" collapsed="false">
      <c r="A40" s="11" t="s">
        <v>124</v>
      </c>
    </row>
    <row r="41" customFormat="false" ht="15" hidden="false" customHeight="false" outlineLevel="0" collapsed="false">
      <c r="A41" s="11" t="s">
        <v>125</v>
      </c>
    </row>
    <row r="42" customFormat="false" ht="15" hidden="false" customHeight="false" outlineLevel="0" collapsed="false">
      <c r="A42" s="11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2026-02-10T16:07:08Z</dcterms:created>
  <dc:creator>openpyxl</dc:creator>
  <dc:description/>
  <dc:language>en-US</dc:language>
  <cp:lastModifiedBy/>
  <dcterms:modified xsi:type="dcterms:W3CDTF">2026-02-10T16:07:08Z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